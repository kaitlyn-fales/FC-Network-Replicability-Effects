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krf5429_psu_edu/Documents/Scanner Heterogeneity Project/Atlas Parcellation/"/>
    </mc:Choice>
  </mc:AlternateContent>
  <xr:revisionPtr revIDLastSave="49" documentId="11_975DF4940A814239E43C10BA17D6A205CD2D19F7" xr6:coauthVersionLast="47" xr6:coauthVersionMax="47" xr10:uidLastSave="{3ACEAE2C-140B-4F68-B202-C8B1F34E8933}"/>
  <bookViews>
    <workbookView xWindow="-28920" yWindow="735" windowWidth="29040" windowHeight="15720" xr2:uid="{00000000-000D-0000-FFFF-FFFF00000000}"/>
  </bookViews>
  <sheets>
    <sheet name="DefaultMode" sheetId="1" r:id="rId1"/>
    <sheet name="DorsalAttention" sheetId="2" r:id="rId2"/>
    <sheet name="FrontoParietal" sheetId="3" r:id="rId3"/>
    <sheet name="Language" sheetId="4" r:id="rId4"/>
    <sheet name="Salience" sheetId="5" r:id="rId5"/>
    <sheet name="SensoriMotor" sheetId="6" r:id="rId6"/>
    <sheet name="Visual" sheetId="7" r:id="rId7"/>
    <sheet name="Labels" sheetId="8" r:id="rId8"/>
  </sheets>
  <definedNames>
    <definedName name="_xlnm._FilterDatabase" localSheetId="0" hidden="1">DefaultMode!$A$1:$A$22</definedName>
    <definedName name="_xlnm._FilterDatabase" localSheetId="1" hidden="1">DorsalAttention!$A$1:$A$9</definedName>
    <definedName name="_xlnm._FilterDatabase" localSheetId="2" hidden="1">FrontoParietal!$A$1:$A$13</definedName>
    <definedName name="_xlnm._FilterDatabase" localSheetId="3" hidden="1">Language!$A$1:$A$11</definedName>
    <definedName name="_xlnm._FilterDatabase" localSheetId="4" hidden="1">Salience!$A$1:$A$16</definedName>
    <definedName name="_xlnm._FilterDatabase" localSheetId="5" hidden="1">SensoriMotor!$A$1:$A$28</definedName>
    <definedName name="_xlnm._FilterDatabase" localSheetId="6" hidden="1">Visual!$A$1:$A$30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2" i="5"/>
  <c r="C3" i="4"/>
  <c r="C4" i="4"/>
  <c r="C5" i="4"/>
  <c r="C6" i="4"/>
  <c r="C7" i="4"/>
  <c r="C8" i="4"/>
  <c r="C9" i="4"/>
  <c r="C10" i="4"/>
  <c r="C11" i="4"/>
  <c r="C2" i="4"/>
  <c r="C3" i="3"/>
  <c r="C4" i="3"/>
  <c r="C5" i="3"/>
  <c r="C6" i="3"/>
  <c r="C7" i="3"/>
  <c r="C8" i="3"/>
  <c r="C9" i="3"/>
  <c r="C10" i="3"/>
  <c r="C11" i="3"/>
  <c r="C12" i="3"/>
  <c r="C13" i="3"/>
  <c r="C2" i="3"/>
  <c r="C3" i="2"/>
  <c r="C4" i="2"/>
  <c r="C5" i="2"/>
  <c r="C6" i="2"/>
  <c r="C7" i="2"/>
  <c r="C8" i="2"/>
  <c r="C9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</calcChain>
</file>

<file path=xl/sharedStrings.xml><?xml version="1.0" encoding="utf-8"?>
<sst xmlns="http://schemas.openxmlformats.org/spreadsheetml/2006/main" count="312" uniqueCount="73">
  <si>
    <t>CONN.ROI</t>
  </si>
  <si>
    <t>Parcel</t>
  </si>
  <si>
    <t>Label</t>
  </si>
  <si>
    <t>Proportion</t>
  </si>
  <si>
    <t>MPFC</t>
  </si>
  <si>
    <t>LP_L</t>
  </si>
  <si>
    <t>LP_R</t>
  </si>
  <si>
    <t>PCC</t>
  </si>
  <si>
    <t>FEF_L</t>
  </si>
  <si>
    <t>FEF_R</t>
  </si>
  <si>
    <t>IPS_L</t>
  </si>
  <si>
    <t>IPS_R</t>
  </si>
  <si>
    <t>LPFC_L</t>
  </si>
  <si>
    <t>PPC_L</t>
  </si>
  <si>
    <t>LPFC_R</t>
  </si>
  <si>
    <t>PPC_R</t>
  </si>
  <si>
    <t>IFG_L</t>
  </si>
  <si>
    <t>IFG_R</t>
  </si>
  <si>
    <t>pSTG_L</t>
  </si>
  <si>
    <t>pSTG_R</t>
  </si>
  <si>
    <t>ACC</t>
  </si>
  <si>
    <t>AInsula_L</t>
  </si>
  <si>
    <t>AInsula_R</t>
  </si>
  <si>
    <t>RPFC_L</t>
  </si>
  <si>
    <t>RPFC_R</t>
  </si>
  <si>
    <t>SMG_L</t>
  </si>
  <si>
    <t>SMG_R</t>
  </si>
  <si>
    <t>Lateral_L</t>
  </si>
  <si>
    <t>Lateral_R</t>
  </si>
  <si>
    <t>Superior</t>
  </si>
  <si>
    <t>Medial</t>
  </si>
  <si>
    <t>Occipital</t>
  </si>
  <si>
    <t># From Table S6 of Dosenbach et al.</t>
  </si>
  <si>
    <t xml:space="preserve"> 2010. Prediction of individual brain maturity using fMRI.</t>
  </si>
  <si>
    <t>vmPFC</t>
  </si>
  <si>
    <t>aPFC</t>
  </si>
  <si>
    <t>mPFC</t>
  </si>
  <si>
    <t>vent aPFC</t>
  </si>
  <si>
    <t>vlPFC</t>
  </si>
  <si>
    <t>dlPFC</t>
  </si>
  <si>
    <t>sup frontal</t>
  </si>
  <si>
    <t>vPFC</t>
  </si>
  <si>
    <t>vFC</t>
  </si>
  <si>
    <t>ant insula</t>
  </si>
  <si>
    <t>dACC</t>
  </si>
  <si>
    <t>dFC</t>
  </si>
  <si>
    <t>basal ganglia</t>
  </si>
  <si>
    <t>mFC</t>
  </si>
  <si>
    <t>frontal</t>
  </si>
  <si>
    <t>pre-SMA</t>
  </si>
  <si>
    <t>SMA</t>
  </si>
  <si>
    <t>mid insula</t>
  </si>
  <si>
    <t>precentral gyrus</t>
  </si>
  <si>
    <t>thalamus</t>
  </si>
  <si>
    <t>parietal</t>
  </si>
  <si>
    <t>temporal</t>
  </si>
  <si>
    <t>inf temporal</t>
  </si>
  <si>
    <t>post insula</t>
  </si>
  <si>
    <t>post cingulate</t>
  </si>
  <si>
    <t>post parietal</t>
  </si>
  <si>
    <t>fusiform</t>
  </si>
  <si>
    <t>precuneus</t>
  </si>
  <si>
    <t>sup parietal</t>
  </si>
  <si>
    <t>IPL</t>
  </si>
  <si>
    <t>occipital</t>
  </si>
  <si>
    <t>lat cerebellum</t>
  </si>
  <si>
    <t>sup temporal</t>
  </si>
  <si>
    <t>angular gyrus</t>
  </si>
  <si>
    <t>inf cerebellum</t>
  </si>
  <si>
    <t>IPS</t>
  </si>
  <si>
    <t>med cerebellum</t>
  </si>
  <si>
    <t>TPJ</t>
  </si>
  <si>
    <t>post occipital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</si>
</sst>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2" sqref="C2"/>
    </sheetView>
  </sheetViews>
  <sheetFormatPr defaultRowHeight="14.4" x14ac:dyDescent="0.3"/>
  <cols>
    <col min="1" max="1" width="14.33203125" bestFit="1" customWidth="1"/>
    <col min="3" max="3" width="13.21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</v>
      </c>
      <c r="C2" t="str">
        <f>VLOOKUP(B2,Labels!$A$2:$B$161,2,FALSE)</f>
        <v>vmPFC</v>
      </c>
      <c r="D2">
        <v>0.42499999999999999</v>
      </c>
    </row>
    <row r="3" spans="1:4" x14ac:dyDescent="0.3">
      <c r="A3" t="s">
        <v>4</v>
      </c>
      <c r="B3">
        <v>7</v>
      </c>
      <c r="C3" t="str">
        <f>VLOOKUP(B3,Labels!$A$2:$B$161,2,FALSE)</f>
        <v>vmPFC</v>
      </c>
      <c r="D3">
        <v>0.3</v>
      </c>
    </row>
    <row r="4" spans="1:4" x14ac:dyDescent="0.3">
      <c r="A4" t="s">
        <v>4</v>
      </c>
      <c r="B4">
        <v>13</v>
      </c>
      <c r="C4" t="str">
        <f>VLOOKUP(B4,Labels!$A$2:$B$161,2,FALSE)</f>
        <v>vmPFC</v>
      </c>
      <c r="D4">
        <v>0.15</v>
      </c>
    </row>
    <row r="5" spans="1:4" x14ac:dyDescent="0.3">
      <c r="A5" t="s">
        <v>4</v>
      </c>
      <c r="B5">
        <v>6</v>
      </c>
      <c r="C5" t="str">
        <f>VLOOKUP(B5,Labels!$A$2:$B$161,2,FALSE)</f>
        <v>vmPFC</v>
      </c>
      <c r="D5">
        <v>0.125</v>
      </c>
    </row>
    <row r="6" spans="1:4" x14ac:dyDescent="0.3">
      <c r="A6" t="s">
        <v>5</v>
      </c>
      <c r="B6">
        <v>146</v>
      </c>
      <c r="C6" t="str">
        <f>VLOOKUP(B6,Labels!$A$2:$B$161,2,FALSE)</f>
        <v>occipital</v>
      </c>
      <c r="D6">
        <v>0.6552</v>
      </c>
    </row>
    <row r="7" spans="1:4" x14ac:dyDescent="0.3">
      <c r="A7" t="s">
        <v>5</v>
      </c>
      <c r="B7">
        <v>134</v>
      </c>
      <c r="C7" t="str">
        <f>VLOOKUP(B7,Labels!$A$2:$B$161,2,FALSE)</f>
        <v>IPS</v>
      </c>
      <c r="D7">
        <v>0.31030000000000002</v>
      </c>
    </row>
    <row r="8" spans="1:4" x14ac:dyDescent="0.3">
      <c r="A8" t="s">
        <v>5</v>
      </c>
      <c r="B8">
        <v>142</v>
      </c>
      <c r="C8" t="str">
        <f>VLOOKUP(B8,Labels!$A$2:$B$161,2,FALSE)</f>
        <v>occipital</v>
      </c>
      <c r="D8">
        <v>3.4500000000000003E-2</v>
      </c>
    </row>
    <row r="9" spans="1:4" x14ac:dyDescent="0.3">
      <c r="A9" t="s">
        <v>6</v>
      </c>
      <c r="B9">
        <v>137</v>
      </c>
      <c r="C9" t="str">
        <f>VLOOKUP(B9,Labels!$A$2:$B$161,2,FALSE)</f>
        <v>occipital</v>
      </c>
      <c r="D9">
        <v>0.67859999999999998</v>
      </c>
    </row>
    <row r="10" spans="1:4" x14ac:dyDescent="0.3">
      <c r="A10" t="s">
        <v>6</v>
      </c>
      <c r="B10">
        <v>117</v>
      </c>
      <c r="C10" t="str">
        <f>VLOOKUP(B10,Labels!$A$2:$B$161,2,FALSE)</f>
        <v>angular gyrus</v>
      </c>
      <c r="D10">
        <v>0.32140000000000002</v>
      </c>
    </row>
    <row r="11" spans="1:4" x14ac:dyDescent="0.3">
      <c r="A11" t="s">
        <v>7</v>
      </c>
      <c r="B11">
        <v>105</v>
      </c>
      <c r="C11" t="str">
        <f>VLOOKUP(B11,Labels!$A$2:$B$161,2,FALSE)</f>
        <v>precuneus</v>
      </c>
      <c r="D11">
        <v>0.152</v>
      </c>
    </row>
    <row r="12" spans="1:4" x14ac:dyDescent="0.3">
      <c r="A12" t="s">
        <v>7</v>
      </c>
      <c r="B12">
        <v>111</v>
      </c>
      <c r="C12" t="str">
        <f>VLOOKUP(B12,Labels!$A$2:$B$161,2,FALSE)</f>
        <v>post cingulate</v>
      </c>
      <c r="D12">
        <v>0.14399999999999999</v>
      </c>
    </row>
    <row r="13" spans="1:4" x14ac:dyDescent="0.3">
      <c r="A13" t="s">
        <v>7</v>
      </c>
      <c r="B13">
        <v>115</v>
      </c>
      <c r="C13" t="str">
        <f>VLOOKUP(B13,Labels!$A$2:$B$161,2,FALSE)</f>
        <v>post cingulate</v>
      </c>
      <c r="D13">
        <v>0.14399999999999999</v>
      </c>
    </row>
    <row r="14" spans="1:4" x14ac:dyDescent="0.3">
      <c r="A14" t="s">
        <v>7</v>
      </c>
      <c r="B14">
        <v>112</v>
      </c>
      <c r="C14" t="str">
        <f>VLOOKUP(B14,Labels!$A$2:$B$161,2,FALSE)</f>
        <v>precuneus</v>
      </c>
      <c r="D14">
        <v>0.128</v>
      </c>
    </row>
    <row r="15" spans="1:4" x14ac:dyDescent="0.3">
      <c r="A15" t="s">
        <v>7</v>
      </c>
      <c r="B15">
        <v>132</v>
      </c>
      <c r="C15" t="str">
        <f>VLOOKUP(B15,Labels!$A$2:$B$161,2,FALSE)</f>
        <v>precuneus</v>
      </c>
      <c r="D15">
        <v>0.112</v>
      </c>
    </row>
    <row r="16" spans="1:4" x14ac:dyDescent="0.3">
      <c r="A16" t="s">
        <v>7</v>
      </c>
      <c r="B16">
        <v>136</v>
      </c>
      <c r="C16" t="str">
        <f>VLOOKUP(B16,Labels!$A$2:$B$161,2,FALSE)</f>
        <v>occipital</v>
      </c>
      <c r="D16">
        <v>0.112</v>
      </c>
    </row>
    <row r="17" spans="1:4" x14ac:dyDescent="0.3">
      <c r="A17" t="s">
        <v>7</v>
      </c>
      <c r="B17">
        <v>141</v>
      </c>
      <c r="C17" t="str">
        <f>VLOOKUP(B17,Labels!$A$2:$B$161,2,FALSE)</f>
        <v>occipital</v>
      </c>
      <c r="D17">
        <v>7.1999999999999995E-2</v>
      </c>
    </row>
    <row r="18" spans="1:4" x14ac:dyDescent="0.3">
      <c r="A18" t="s">
        <v>7</v>
      </c>
      <c r="B18">
        <v>108</v>
      </c>
      <c r="C18" t="str">
        <f>VLOOKUP(B18,Labels!$A$2:$B$161,2,FALSE)</f>
        <v>post cingulate</v>
      </c>
      <c r="D18">
        <v>5.6000000000000001E-2</v>
      </c>
    </row>
    <row r="19" spans="1:4" x14ac:dyDescent="0.3">
      <c r="A19" t="s">
        <v>7</v>
      </c>
      <c r="B19">
        <v>85</v>
      </c>
      <c r="C19" t="str">
        <f>VLOOKUP(B19,Labels!$A$2:$B$161,2,FALSE)</f>
        <v>precuneus</v>
      </c>
      <c r="D19">
        <v>4.8000000000000001E-2</v>
      </c>
    </row>
    <row r="20" spans="1:4" x14ac:dyDescent="0.3">
      <c r="A20" t="s">
        <v>7</v>
      </c>
      <c r="B20">
        <v>133</v>
      </c>
      <c r="C20" t="str">
        <f>VLOOKUP(B20,Labels!$A$2:$B$161,2,FALSE)</f>
        <v>occipital</v>
      </c>
      <c r="D20">
        <v>1.6E-2</v>
      </c>
    </row>
    <row r="21" spans="1:4" x14ac:dyDescent="0.3">
      <c r="A21" t="s">
        <v>7</v>
      </c>
      <c r="B21">
        <v>145</v>
      </c>
      <c r="C21" t="str">
        <f>VLOOKUP(B21,Labels!$A$2:$B$161,2,FALSE)</f>
        <v>occipital</v>
      </c>
      <c r="D21">
        <v>8.0000000000000002E-3</v>
      </c>
    </row>
    <row r="22" spans="1:4" x14ac:dyDescent="0.3">
      <c r="A22" t="s">
        <v>7</v>
      </c>
      <c r="B22">
        <v>223</v>
      </c>
      <c r="C22" t="e">
        <f>VLOOKUP(B22,Labels!$A$2:$B$161,2,FALSE)</f>
        <v>#N/A</v>
      </c>
      <c r="D22">
        <v>8.0000000000000002E-3</v>
      </c>
    </row>
  </sheetData>
  <autoFilter ref="A1:A2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1.777343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</v>
      </c>
      <c r="B2">
        <v>50</v>
      </c>
      <c r="C2" t="str">
        <f>VLOOKUP(B2,Labels!$A$2:$B$161,2,FALSE)</f>
        <v>parietal</v>
      </c>
      <c r="D2">
        <v>1</v>
      </c>
    </row>
    <row r="3" spans="1:4" x14ac:dyDescent="0.3">
      <c r="A3" t="s">
        <v>9</v>
      </c>
      <c r="B3">
        <v>69</v>
      </c>
      <c r="C3" t="str">
        <f>VLOOKUP(B3,Labels!$A$2:$B$161,2,FALSE)</f>
        <v>parietal</v>
      </c>
      <c r="D3">
        <v>1</v>
      </c>
    </row>
    <row r="4" spans="1:4" x14ac:dyDescent="0.3">
      <c r="A4" t="s">
        <v>10</v>
      </c>
      <c r="B4">
        <v>88</v>
      </c>
      <c r="C4" t="str">
        <f>VLOOKUP(B4,Labels!$A$2:$B$161,2,FALSE)</f>
        <v>IPL</v>
      </c>
      <c r="D4">
        <v>0.3115</v>
      </c>
    </row>
    <row r="5" spans="1:4" x14ac:dyDescent="0.3">
      <c r="A5" t="s">
        <v>10</v>
      </c>
      <c r="B5">
        <v>99</v>
      </c>
      <c r="C5" t="str">
        <f>VLOOKUP(B5,Labels!$A$2:$B$161,2,FALSE)</f>
        <v>post parietal</v>
      </c>
      <c r="D5">
        <v>0.29509999999999997</v>
      </c>
    </row>
    <row r="6" spans="1:4" x14ac:dyDescent="0.3">
      <c r="A6" t="s">
        <v>10</v>
      </c>
      <c r="B6">
        <v>66</v>
      </c>
      <c r="C6" t="str">
        <f>VLOOKUP(B6,Labels!$A$2:$B$161,2,FALSE)</f>
        <v>parietal</v>
      </c>
      <c r="D6">
        <v>0.19670000000000001</v>
      </c>
    </row>
    <row r="7" spans="1:4" x14ac:dyDescent="0.3">
      <c r="A7" t="s">
        <v>10</v>
      </c>
      <c r="B7">
        <v>79</v>
      </c>
      <c r="C7" t="str">
        <f>VLOOKUP(B7,Labels!$A$2:$B$161,2,FALSE)</f>
        <v>post parietal</v>
      </c>
      <c r="D7">
        <v>0.19670000000000001</v>
      </c>
    </row>
    <row r="8" spans="1:4" x14ac:dyDescent="0.3">
      <c r="A8" t="s">
        <v>11</v>
      </c>
      <c r="B8">
        <v>86</v>
      </c>
      <c r="C8" t="str">
        <f>VLOOKUP(B8,Labels!$A$2:$B$161,2,FALSE)</f>
        <v>sup parietal</v>
      </c>
      <c r="D8">
        <v>0.78569999999999995</v>
      </c>
    </row>
    <row r="9" spans="1:4" x14ac:dyDescent="0.3">
      <c r="A9" t="s">
        <v>11</v>
      </c>
      <c r="B9">
        <v>65</v>
      </c>
      <c r="C9" t="str">
        <f>VLOOKUP(B9,Labels!$A$2:$B$161,2,FALSE)</f>
        <v>parietal</v>
      </c>
      <c r="D9">
        <v>0.21429999999999999</v>
      </c>
    </row>
  </sheetData>
  <autoFilter ref="A1:A9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2.3320312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</v>
      </c>
      <c r="B2">
        <v>10</v>
      </c>
      <c r="C2" t="str">
        <f>VLOOKUP(B2,Labels!$A$2:$B$161,2,FALSE)</f>
        <v>vent aPFC</v>
      </c>
      <c r="D2">
        <v>0.5333</v>
      </c>
    </row>
    <row r="3" spans="1:4" x14ac:dyDescent="0.3">
      <c r="A3" t="s">
        <v>12</v>
      </c>
      <c r="B3">
        <v>24</v>
      </c>
      <c r="C3" t="str">
        <f>VLOOKUP(B3,Labels!$A$2:$B$161,2,FALSE)</f>
        <v>dlPFC</v>
      </c>
      <c r="D3">
        <v>0.4</v>
      </c>
    </row>
    <row r="4" spans="1:4" x14ac:dyDescent="0.3">
      <c r="A4" t="s">
        <v>12</v>
      </c>
      <c r="B4">
        <v>3</v>
      </c>
      <c r="C4" t="str">
        <f>VLOOKUP(B4,Labels!$A$2:$B$161,2,FALSE)</f>
        <v>aPFC</v>
      </c>
      <c r="D4">
        <v>3.3300000000000003E-2</v>
      </c>
    </row>
    <row r="5" spans="1:4" x14ac:dyDescent="0.3">
      <c r="A5" t="s">
        <v>12</v>
      </c>
      <c r="B5">
        <v>23</v>
      </c>
      <c r="C5" t="str">
        <f>VLOOKUP(B5,Labels!$A$2:$B$161,2,FALSE)</f>
        <v>vPFC</v>
      </c>
      <c r="D5">
        <v>3.3300000000000003E-2</v>
      </c>
    </row>
    <row r="6" spans="1:4" x14ac:dyDescent="0.3">
      <c r="A6" t="s">
        <v>13</v>
      </c>
      <c r="B6">
        <v>101</v>
      </c>
      <c r="C6" t="str">
        <f>VLOOKUP(B6,Labels!$A$2:$B$161,2,FALSE)</f>
        <v>IPL</v>
      </c>
      <c r="D6">
        <v>0.6</v>
      </c>
    </row>
    <row r="7" spans="1:4" x14ac:dyDescent="0.3">
      <c r="A7" t="s">
        <v>13</v>
      </c>
      <c r="B7">
        <v>104</v>
      </c>
      <c r="C7" t="str">
        <f>VLOOKUP(B7,Labels!$A$2:$B$161,2,FALSE)</f>
        <v>IPL</v>
      </c>
      <c r="D7">
        <v>0.36</v>
      </c>
    </row>
    <row r="8" spans="1:4" x14ac:dyDescent="0.3">
      <c r="A8" t="s">
        <v>13</v>
      </c>
      <c r="B8">
        <v>124</v>
      </c>
      <c r="C8" t="str">
        <f>VLOOKUP(B8,Labels!$A$2:$B$161,2,FALSE)</f>
        <v>angular gyrus</v>
      </c>
      <c r="D8">
        <v>0.04</v>
      </c>
    </row>
    <row r="9" spans="1:4" x14ac:dyDescent="0.3">
      <c r="A9" t="s">
        <v>14</v>
      </c>
      <c r="B9">
        <v>2</v>
      </c>
      <c r="C9" t="str">
        <f>VLOOKUP(B9,Labels!$A$2:$B$161,2,FALSE)</f>
        <v>aPFC</v>
      </c>
      <c r="D9">
        <v>0.4667</v>
      </c>
    </row>
    <row r="10" spans="1:4" x14ac:dyDescent="0.3">
      <c r="A10" t="s">
        <v>14</v>
      </c>
      <c r="B10">
        <v>9</v>
      </c>
      <c r="C10" t="str">
        <f>VLOOKUP(B10,Labels!$A$2:$B$161,2,FALSE)</f>
        <v>vent aPFC</v>
      </c>
      <c r="D10">
        <v>0.4</v>
      </c>
    </row>
    <row r="11" spans="1:4" x14ac:dyDescent="0.3">
      <c r="A11" t="s">
        <v>14</v>
      </c>
      <c r="B11">
        <v>16</v>
      </c>
      <c r="C11" t="str">
        <f>VLOOKUP(B11,Labels!$A$2:$B$161,2,FALSE)</f>
        <v>dlPFC</v>
      </c>
      <c r="D11">
        <v>0.1333</v>
      </c>
    </row>
    <row r="12" spans="1:4" x14ac:dyDescent="0.3">
      <c r="A12" t="s">
        <v>15</v>
      </c>
      <c r="B12">
        <v>96</v>
      </c>
      <c r="C12" t="str">
        <f>VLOOKUP(B12,Labels!$A$2:$B$161,2,FALSE)</f>
        <v>IPL</v>
      </c>
      <c r="D12">
        <v>0.6129</v>
      </c>
    </row>
    <row r="13" spans="1:4" x14ac:dyDescent="0.3">
      <c r="A13" t="s">
        <v>15</v>
      </c>
      <c r="B13">
        <v>107</v>
      </c>
      <c r="C13" t="str">
        <f>VLOOKUP(B13,Labels!$A$2:$B$161,2,FALSE)</f>
        <v>IPL</v>
      </c>
      <c r="D13">
        <v>0.3871</v>
      </c>
    </row>
  </sheetData>
  <autoFilter ref="A1:A13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1.664062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16</v>
      </c>
      <c r="B2">
        <v>23</v>
      </c>
      <c r="C2" t="str">
        <f>VLOOKUP(B2,Labels!$A$2:$B$161,2,FALSE)</f>
        <v>vPFC</v>
      </c>
      <c r="D2">
        <v>1</v>
      </c>
    </row>
    <row r="3" spans="1:4" x14ac:dyDescent="0.3">
      <c r="A3" t="s">
        <v>17</v>
      </c>
      <c r="B3">
        <v>25</v>
      </c>
      <c r="C3" t="str">
        <f>VLOOKUP(B3,Labels!$A$2:$B$161,2,FALSE)</f>
        <v>vFC</v>
      </c>
      <c r="D3">
        <v>1</v>
      </c>
    </row>
    <row r="4" spans="1:4" x14ac:dyDescent="0.3">
      <c r="A4" t="s">
        <v>18</v>
      </c>
      <c r="B4">
        <v>97</v>
      </c>
      <c r="C4" t="str">
        <f>VLOOKUP(B4,Labels!$A$2:$B$161,2,FALSE)</f>
        <v>parietal</v>
      </c>
      <c r="D4">
        <v>0.32200000000000001</v>
      </c>
    </row>
    <row r="5" spans="1:4" x14ac:dyDescent="0.3">
      <c r="A5" t="s">
        <v>18</v>
      </c>
      <c r="B5">
        <v>103</v>
      </c>
      <c r="C5" t="str">
        <f>VLOOKUP(B5,Labels!$A$2:$B$161,2,FALSE)</f>
        <v>temporal</v>
      </c>
      <c r="D5">
        <v>0.32200000000000001</v>
      </c>
    </row>
    <row r="6" spans="1:4" x14ac:dyDescent="0.3">
      <c r="A6" t="s">
        <v>18</v>
      </c>
      <c r="B6">
        <v>125</v>
      </c>
      <c r="C6" t="str">
        <f>VLOOKUP(B6,Labels!$A$2:$B$161,2,FALSE)</f>
        <v>TPJ</v>
      </c>
      <c r="D6">
        <v>0.18640000000000001</v>
      </c>
    </row>
    <row r="7" spans="1:4" x14ac:dyDescent="0.3">
      <c r="A7" t="s">
        <v>18</v>
      </c>
      <c r="B7">
        <v>91</v>
      </c>
      <c r="C7" t="str">
        <f>VLOOKUP(B7,Labels!$A$2:$B$161,2,FALSE)</f>
        <v>inf temporal</v>
      </c>
      <c r="D7">
        <v>0.1017</v>
      </c>
    </row>
    <row r="8" spans="1:4" x14ac:dyDescent="0.3">
      <c r="A8" t="s">
        <v>18</v>
      </c>
      <c r="B8">
        <v>104</v>
      </c>
      <c r="C8" t="str">
        <f>VLOOKUP(B8,Labels!$A$2:$B$161,2,FALSE)</f>
        <v>IPL</v>
      </c>
      <c r="D8">
        <v>6.7799999999999999E-2</v>
      </c>
    </row>
    <row r="9" spans="1:4" x14ac:dyDescent="0.3">
      <c r="A9" t="s">
        <v>19</v>
      </c>
      <c r="B9">
        <v>89</v>
      </c>
      <c r="C9" t="str">
        <f>VLOOKUP(B9,Labels!$A$2:$B$161,2,FALSE)</f>
        <v>parietal</v>
      </c>
      <c r="D9">
        <v>0.79169999999999996</v>
      </c>
    </row>
    <row r="10" spans="1:4" x14ac:dyDescent="0.3">
      <c r="A10" t="s">
        <v>19</v>
      </c>
      <c r="B10">
        <v>78</v>
      </c>
      <c r="C10" t="str">
        <f>VLOOKUP(B10,Labels!$A$2:$B$161,2,FALSE)</f>
        <v>temporal</v>
      </c>
      <c r="D10">
        <v>0.125</v>
      </c>
    </row>
    <row r="11" spans="1:4" x14ac:dyDescent="0.3">
      <c r="A11" t="s">
        <v>19</v>
      </c>
      <c r="B11">
        <v>63</v>
      </c>
      <c r="C11" t="str">
        <f>VLOOKUP(B11,Labels!$A$2:$B$161,2,FALSE)</f>
        <v>inf temporal</v>
      </c>
      <c r="D11">
        <v>8.3299999999999999E-2</v>
      </c>
    </row>
  </sheetData>
  <autoFilter ref="A1:A1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1.88671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20</v>
      </c>
      <c r="B2">
        <v>19</v>
      </c>
      <c r="C2" t="str">
        <f>VLOOKUP(B2,Labels!$A$2:$B$161,2,FALSE)</f>
        <v>ACC</v>
      </c>
      <c r="D2">
        <v>0.25330000000000003</v>
      </c>
    </row>
    <row r="3" spans="1:4" x14ac:dyDescent="0.3">
      <c r="A3" t="s">
        <v>20</v>
      </c>
      <c r="B3">
        <v>31</v>
      </c>
      <c r="C3" t="str">
        <f>VLOOKUP(B3,Labels!$A$2:$B$161,2,FALSE)</f>
        <v>mFC</v>
      </c>
      <c r="D3">
        <v>0.25330000000000003</v>
      </c>
    </row>
    <row r="4" spans="1:4" x14ac:dyDescent="0.3">
      <c r="A4" t="s">
        <v>20</v>
      </c>
      <c r="B4">
        <v>30</v>
      </c>
      <c r="C4" t="str">
        <f>VLOOKUP(B4,Labels!$A$2:$B$161,2,FALSE)</f>
        <v>basal ganglia</v>
      </c>
      <c r="D4">
        <v>0.2</v>
      </c>
    </row>
    <row r="5" spans="1:4" x14ac:dyDescent="0.3">
      <c r="A5" t="s">
        <v>20</v>
      </c>
      <c r="B5">
        <v>21</v>
      </c>
      <c r="C5" t="str">
        <f>VLOOKUP(B5,Labels!$A$2:$B$161,2,FALSE)</f>
        <v>ACC</v>
      </c>
      <c r="D5">
        <v>0.16</v>
      </c>
    </row>
    <row r="6" spans="1:4" x14ac:dyDescent="0.3">
      <c r="A6" t="s">
        <v>20</v>
      </c>
      <c r="B6">
        <v>27</v>
      </c>
      <c r="C6" t="str">
        <f>VLOOKUP(B6,Labels!$A$2:$B$161,2,FALSE)</f>
        <v>dACC</v>
      </c>
      <c r="D6">
        <v>0.1333</v>
      </c>
    </row>
    <row r="7" spans="1:4" x14ac:dyDescent="0.3">
      <c r="A7" t="s">
        <v>21</v>
      </c>
      <c r="B7">
        <v>28</v>
      </c>
      <c r="C7" t="str">
        <f>VLOOKUP(B7,Labels!$A$2:$B$161,2,FALSE)</f>
        <v>ant insula</v>
      </c>
      <c r="D7">
        <v>0.52380000000000004</v>
      </c>
    </row>
    <row r="8" spans="1:4" x14ac:dyDescent="0.3">
      <c r="A8" t="s">
        <v>21</v>
      </c>
      <c r="B8">
        <v>40</v>
      </c>
      <c r="C8" t="str">
        <f>VLOOKUP(B8,Labels!$A$2:$B$161,2,FALSE)</f>
        <v>vFC</v>
      </c>
      <c r="D8">
        <v>0.47620000000000001</v>
      </c>
    </row>
    <row r="9" spans="1:4" x14ac:dyDescent="0.3">
      <c r="A9" t="s">
        <v>22</v>
      </c>
      <c r="B9">
        <v>26</v>
      </c>
      <c r="C9" t="str">
        <f>VLOOKUP(B9,Labels!$A$2:$B$161,2,FALSE)</f>
        <v>ant insula</v>
      </c>
      <c r="D9">
        <v>1</v>
      </c>
    </row>
    <row r="10" spans="1:4" x14ac:dyDescent="0.3">
      <c r="A10" t="s">
        <v>23</v>
      </c>
      <c r="B10">
        <v>5</v>
      </c>
      <c r="C10" t="str">
        <f>VLOOKUP(B10,Labels!$A$2:$B$161,2,FALSE)</f>
        <v>aPFC</v>
      </c>
      <c r="D10">
        <v>0.92859999999999998</v>
      </c>
    </row>
    <row r="11" spans="1:4" x14ac:dyDescent="0.3">
      <c r="A11" t="s">
        <v>23</v>
      </c>
      <c r="B11">
        <v>3</v>
      </c>
      <c r="C11" t="str">
        <f>VLOOKUP(B11,Labels!$A$2:$B$161,2,FALSE)</f>
        <v>aPFC</v>
      </c>
      <c r="D11">
        <v>7.1400000000000005E-2</v>
      </c>
    </row>
    <row r="12" spans="1:4" x14ac:dyDescent="0.3">
      <c r="A12" t="s">
        <v>24</v>
      </c>
      <c r="B12">
        <v>8</v>
      </c>
      <c r="C12" t="str">
        <f>VLOOKUP(B12,Labels!$A$2:$B$161,2,FALSE)</f>
        <v>aPFC</v>
      </c>
      <c r="D12">
        <v>0.6552</v>
      </c>
    </row>
    <row r="13" spans="1:4" x14ac:dyDescent="0.3">
      <c r="A13" t="s">
        <v>24</v>
      </c>
      <c r="B13">
        <v>2</v>
      </c>
      <c r="C13" t="str">
        <f>VLOOKUP(B13,Labels!$A$2:$B$161,2,FALSE)</f>
        <v>aPFC</v>
      </c>
      <c r="D13">
        <v>0.1724</v>
      </c>
    </row>
    <row r="14" spans="1:4" x14ac:dyDescent="0.3">
      <c r="A14" t="s">
        <v>24</v>
      </c>
      <c r="B14">
        <v>16</v>
      </c>
      <c r="C14" t="str">
        <f>VLOOKUP(B14,Labels!$A$2:$B$161,2,FALSE)</f>
        <v>dlPFC</v>
      </c>
      <c r="D14">
        <v>0.1724</v>
      </c>
    </row>
    <row r="15" spans="1:4" x14ac:dyDescent="0.3">
      <c r="A15" t="s">
        <v>25</v>
      </c>
      <c r="B15">
        <v>97</v>
      </c>
      <c r="C15" t="str">
        <f>VLOOKUP(B15,Labels!$A$2:$B$161,2,FALSE)</f>
        <v>parietal</v>
      </c>
      <c r="D15">
        <v>1</v>
      </c>
    </row>
    <row r="16" spans="1:4" x14ac:dyDescent="0.3">
      <c r="A16" t="s">
        <v>26</v>
      </c>
      <c r="B16">
        <v>89</v>
      </c>
      <c r="C16" t="str">
        <f>VLOOKUP(B16,Labels!$A$2:$B$161,2,FALSE)</f>
        <v>parietal</v>
      </c>
      <c r="D16">
        <v>1</v>
      </c>
    </row>
  </sheetData>
  <autoFilter ref="A1:A16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27</v>
      </c>
      <c r="B2">
        <v>52</v>
      </c>
      <c r="C2" t="str">
        <f>VLOOKUP(B2,Labels!$A$2:$B$161,2,FALSE)</f>
        <v>precentral gyrus</v>
      </c>
      <c r="D2">
        <v>0.14729999999999999</v>
      </c>
    </row>
    <row r="3" spans="1:4" x14ac:dyDescent="0.3">
      <c r="A3" t="s">
        <v>27</v>
      </c>
      <c r="B3">
        <v>54</v>
      </c>
      <c r="C3" t="str">
        <f>VLOOKUP(B3,Labels!$A$2:$B$161,2,FALSE)</f>
        <v>parietal</v>
      </c>
      <c r="D3">
        <v>0.14729999999999999</v>
      </c>
    </row>
    <row r="4" spans="1:4" x14ac:dyDescent="0.3">
      <c r="A4" t="s">
        <v>27</v>
      </c>
      <c r="B4">
        <v>64</v>
      </c>
      <c r="C4" t="str">
        <f>VLOOKUP(B4,Labels!$A$2:$B$161,2,FALSE)</f>
        <v>parietal</v>
      </c>
      <c r="D4">
        <v>0.14729999999999999</v>
      </c>
    </row>
    <row r="5" spans="1:4" x14ac:dyDescent="0.3">
      <c r="A5" t="s">
        <v>27</v>
      </c>
      <c r="B5">
        <v>66</v>
      </c>
      <c r="C5" t="str">
        <f>VLOOKUP(B5,Labels!$A$2:$B$161,2,FALSE)</f>
        <v>parietal</v>
      </c>
      <c r="D5">
        <v>0.14729999999999999</v>
      </c>
    </row>
    <row r="6" spans="1:4" x14ac:dyDescent="0.3">
      <c r="A6" t="s">
        <v>27</v>
      </c>
      <c r="B6">
        <v>67</v>
      </c>
      <c r="C6" t="str">
        <f>VLOOKUP(B6,Labels!$A$2:$B$161,2,FALSE)</f>
        <v>precentral gyrus</v>
      </c>
      <c r="D6">
        <v>0.124</v>
      </c>
    </row>
    <row r="7" spans="1:4" x14ac:dyDescent="0.3">
      <c r="A7" t="s">
        <v>27</v>
      </c>
      <c r="B7">
        <v>68</v>
      </c>
      <c r="C7" t="str">
        <f>VLOOKUP(B7,Labels!$A$2:$B$161,2,FALSE)</f>
        <v>temporal</v>
      </c>
      <c r="D7">
        <v>8.5300000000000001E-2</v>
      </c>
    </row>
    <row r="8" spans="1:4" x14ac:dyDescent="0.3">
      <c r="A8" t="s">
        <v>27</v>
      </c>
      <c r="B8">
        <v>62</v>
      </c>
      <c r="C8" t="str">
        <f>VLOOKUP(B8,Labels!$A$2:$B$161,2,FALSE)</f>
        <v>parietal</v>
      </c>
      <c r="D8">
        <v>6.2E-2</v>
      </c>
    </row>
    <row r="9" spans="1:4" x14ac:dyDescent="0.3">
      <c r="A9" t="s">
        <v>27</v>
      </c>
      <c r="B9">
        <v>37</v>
      </c>
      <c r="C9" t="str">
        <f>VLOOKUP(B9,Labels!$A$2:$B$161,2,FALSE)</f>
        <v>vFC</v>
      </c>
      <c r="D9">
        <v>5.4300000000000001E-2</v>
      </c>
    </row>
    <row r="10" spans="1:4" x14ac:dyDescent="0.3">
      <c r="A10" t="s">
        <v>27</v>
      </c>
      <c r="B10">
        <v>48</v>
      </c>
      <c r="C10" t="str">
        <f>VLOOKUP(B10,Labels!$A$2:$B$161,2,FALSE)</f>
        <v>mid insula</v>
      </c>
      <c r="D10">
        <v>3.1E-2</v>
      </c>
    </row>
    <row r="11" spans="1:4" x14ac:dyDescent="0.3">
      <c r="A11" t="s">
        <v>27</v>
      </c>
      <c r="B11">
        <v>56</v>
      </c>
      <c r="C11" t="str">
        <f>VLOOKUP(B11,Labels!$A$2:$B$161,2,FALSE)</f>
        <v>mid insula</v>
      </c>
      <c r="D11">
        <v>2.3300000000000001E-2</v>
      </c>
    </row>
    <row r="12" spans="1:4" x14ac:dyDescent="0.3">
      <c r="A12" t="s">
        <v>27</v>
      </c>
      <c r="B12">
        <v>79</v>
      </c>
      <c r="C12" t="str">
        <f>VLOOKUP(B12,Labels!$A$2:$B$161,2,FALSE)</f>
        <v>post parietal</v>
      </c>
      <c r="D12">
        <v>2.3300000000000001E-2</v>
      </c>
    </row>
    <row r="13" spans="1:4" x14ac:dyDescent="0.3">
      <c r="A13" t="s">
        <v>27</v>
      </c>
      <c r="B13">
        <v>49</v>
      </c>
      <c r="C13" t="str">
        <f>VLOOKUP(B13,Labels!$A$2:$B$161,2,FALSE)</f>
        <v>precentral gyrus</v>
      </c>
      <c r="D13">
        <v>7.7999999999999996E-3</v>
      </c>
    </row>
    <row r="14" spans="1:4" x14ac:dyDescent="0.3">
      <c r="A14" t="s">
        <v>28</v>
      </c>
      <c r="B14">
        <v>46</v>
      </c>
      <c r="C14" t="str">
        <f>VLOOKUP(B14,Labels!$A$2:$B$161,2,FALSE)</f>
        <v>precentral gyrus</v>
      </c>
      <c r="D14">
        <v>0.1696</v>
      </c>
    </row>
    <row r="15" spans="1:4" x14ac:dyDescent="0.3">
      <c r="A15" t="s">
        <v>28</v>
      </c>
      <c r="B15">
        <v>45</v>
      </c>
      <c r="C15" t="str">
        <f>VLOOKUP(B15,Labels!$A$2:$B$161,2,FALSE)</f>
        <v>frontal</v>
      </c>
      <c r="D15">
        <v>0.16070000000000001</v>
      </c>
    </row>
    <row r="16" spans="1:4" x14ac:dyDescent="0.3">
      <c r="A16" t="s">
        <v>28</v>
      </c>
      <c r="B16">
        <v>53</v>
      </c>
      <c r="C16" t="str">
        <f>VLOOKUP(B16,Labels!$A$2:$B$161,2,FALSE)</f>
        <v>precentral gyrus</v>
      </c>
      <c r="D16">
        <v>0.16070000000000001</v>
      </c>
    </row>
    <row r="17" spans="1:4" x14ac:dyDescent="0.3">
      <c r="A17" t="s">
        <v>28</v>
      </c>
      <c r="B17">
        <v>60</v>
      </c>
      <c r="C17" t="str">
        <f>VLOOKUP(B17,Labels!$A$2:$B$161,2,FALSE)</f>
        <v>temporal</v>
      </c>
      <c r="D17">
        <v>0.16070000000000001</v>
      </c>
    </row>
    <row r="18" spans="1:4" x14ac:dyDescent="0.3">
      <c r="A18" t="s">
        <v>28</v>
      </c>
      <c r="B18">
        <v>35</v>
      </c>
      <c r="C18" t="str">
        <f>VLOOKUP(B18,Labels!$A$2:$B$161,2,FALSE)</f>
        <v>dFC</v>
      </c>
      <c r="D18">
        <v>0.1429</v>
      </c>
    </row>
    <row r="19" spans="1:4" x14ac:dyDescent="0.3">
      <c r="A19" t="s">
        <v>28</v>
      </c>
      <c r="B19">
        <v>65</v>
      </c>
      <c r="C19" t="str">
        <f>VLOOKUP(B19,Labels!$A$2:$B$161,2,FALSE)</f>
        <v>parietal</v>
      </c>
      <c r="D19">
        <v>0.11609999999999999</v>
      </c>
    </row>
    <row r="20" spans="1:4" x14ac:dyDescent="0.3">
      <c r="A20" t="s">
        <v>28</v>
      </c>
      <c r="B20">
        <v>42</v>
      </c>
      <c r="C20" t="str">
        <f>VLOOKUP(B20,Labels!$A$2:$B$161,2,FALSE)</f>
        <v>vFC</v>
      </c>
      <c r="D20">
        <v>5.3600000000000002E-2</v>
      </c>
    </row>
    <row r="21" spans="1:4" x14ac:dyDescent="0.3">
      <c r="A21" t="s">
        <v>28</v>
      </c>
      <c r="B21">
        <v>51</v>
      </c>
      <c r="C21" t="str">
        <f>VLOOKUP(B21,Labels!$A$2:$B$161,2,FALSE)</f>
        <v>precentral gyrus</v>
      </c>
      <c r="D21">
        <v>2.6800000000000001E-2</v>
      </c>
    </row>
    <row r="22" spans="1:4" x14ac:dyDescent="0.3">
      <c r="A22" t="s">
        <v>28</v>
      </c>
      <c r="B22">
        <v>32</v>
      </c>
      <c r="C22" t="str">
        <f>VLOOKUP(B22,Labels!$A$2:$B$161,2,FALSE)</f>
        <v>frontal</v>
      </c>
      <c r="D22">
        <v>8.8999999999999999E-3</v>
      </c>
    </row>
    <row r="23" spans="1:4" x14ac:dyDescent="0.3">
      <c r="A23" t="s">
        <v>29</v>
      </c>
      <c r="B23">
        <v>77</v>
      </c>
      <c r="C23" t="str">
        <f>VLOOKUP(B23,Labels!$A$2:$B$161,2,FALSE)</f>
        <v>parietal</v>
      </c>
      <c r="D23">
        <v>0.28789999999999999</v>
      </c>
    </row>
    <row r="24" spans="1:4" x14ac:dyDescent="0.3">
      <c r="A24" t="s">
        <v>29</v>
      </c>
      <c r="B24">
        <v>75</v>
      </c>
      <c r="C24" t="str">
        <f>VLOOKUP(B24,Labels!$A$2:$B$161,2,FALSE)</f>
        <v>parietal</v>
      </c>
      <c r="D24">
        <v>0.2576</v>
      </c>
    </row>
    <row r="25" spans="1:4" x14ac:dyDescent="0.3">
      <c r="A25" t="s">
        <v>29</v>
      </c>
      <c r="B25">
        <v>74</v>
      </c>
      <c r="C25" t="str">
        <f>VLOOKUP(B25,Labels!$A$2:$B$161,2,FALSE)</f>
        <v>parietal</v>
      </c>
      <c r="D25">
        <v>0.2424</v>
      </c>
    </row>
    <row r="26" spans="1:4" x14ac:dyDescent="0.3">
      <c r="A26" t="s">
        <v>29</v>
      </c>
      <c r="B26">
        <v>86</v>
      </c>
      <c r="C26" t="str">
        <f>VLOOKUP(B26,Labels!$A$2:$B$161,2,FALSE)</f>
        <v>sup parietal</v>
      </c>
      <c r="D26">
        <v>0.1061</v>
      </c>
    </row>
    <row r="27" spans="1:4" x14ac:dyDescent="0.3">
      <c r="A27" t="s">
        <v>29</v>
      </c>
      <c r="B27">
        <v>87</v>
      </c>
      <c r="C27" t="str">
        <f>VLOOKUP(B27,Labels!$A$2:$B$161,2,FALSE)</f>
        <v>precuneus</v>
      </c>
      <c r="D27">
        <v>6.0600000000000001E-2</v>
      </c>
    </row>
    <row r="28" spans="1:4" x14ac:dyDescent="0.3">
      <c r="A28" t="s">
        <v>29</v>
      </c>
      <c r="B28">
        <v>69</v>
      </c>
      <c r="C28" t="str">
        <f>VLOOKUP(B28,Labels!$A$2:$B$161,2,FALSE)</f>
        <v>parietal</v>
      </c>
      <c r="D28">
        <v>4.5499999999999999E-2</v>
      </c>
    </row>
  </sheetData>
  <autoFilter ref="A1:A28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"/>
  <sheetViews>
    <sheetView workbookViewId="0">
      <selection activeCell="C33" sqref="C33"/>
    </sheetView>
  </sheetViews>
  <sheetFormatPr defaultRowHeight="14.4" x14ac:dyDescent="0.3"/>
  <cols>
    <col min="1" max="1" width="14.33203125" bestFit="1" customWidth="1"/>
    <col min="3" max="3" width="15.21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30</v>
      </c>
      <c r="B2">
        <v>129</v>
      </c>
      <c r="C2" t="str">
        <f>VLOOKUP(B2,Labels!$A$2:$B$161,2,FALSE)</f>
        <v>occipital</v>
      </c>
      <c r="D2">
        <v>0.1022</v>
      </c>
    </row>
    <row r="3" spans="1:4" x14ac:dyDescent="0.3">
      <c r="A3" t="s">
        <v>30</v>
      </c>
      <c r="B3">
        <v>147</v>
      </c>
      <c r="C3" t="str">
        <f>VLOOKUP(B3,Labels!$A$2:$B$161,2,FALSE)</f>
        <v>occipital</v>
      </c>
      <c r="D3">
        <v>0.1022</v>
      </c>
    </row>
    <row r="4" spans="1:4" x14ac:dyDescent="0.3">
      <c r="A4" t="s">
        <v>30</v>
      </c>
      <c r="B4">
        <v>148</v>
      </c>
      <c r="C4" t="str">
        <f>VLOOKUP(B4,Labels!$A$2:$B$161,2,FALSE)</f>
        <v>occipital</v>
      </c>
      <c r="D4">
        <v>0.1022</v>
      </c>
    </row>
    <row r="5" spans="1:4" x14ac:dyDescent="0.3">
      <c r="A5" t="s">
        <v>30</v>
      </c>
      <c r="B5">
        <v>152</v>
      </c>
      <c r="C5" t="str">
        <f>VLOOKUP(B5,Labels!$A$2:$B$161,2,FALSE)</f>
        <v>post occipital</v>
      </c>
      <c r="D5">
        <v>0.1022</v>
      </c>
    </row>
    <row r="6" spans="1:4" x14ac:dyDescent="0.3">
      <c r="A6" t="s">
        <v>30</v>
      </c>
      <c r="B6">
        <v>158</v>
      </c>
      <c r="C6" t="str">
        <f>VLOOKUP(B6,Labels!$A$2:$B$161,2,FALSE)</f>
        <v>post occipital</v>
      </c>
      <c r="D6">
        <v>0.1022</v>
      </c>
    </row>
    <row r="7" spans="1:4" x14ac:dyDescent="0.3">
      <c r="A7" t="s">
        <v>30</v>
      </c>
      <c r="B7">
        <v>160</v>
      </c>
      <c r="C7" t="str">
        <f>VLOOKUP(B7,Labels!$A$2:$B$161,2,FALSE)</f>
        <v>post occipital</v>
      </c>
      <c r="D7">
        <v>0.1022</v>
      </c>
    </row>
    <row r="8" spans="1:4" x14ac:dyDescent="0.3">
      <c r="A8" t="s">
        <v>30</v>
      </c>
      <c r="B8">
        <v>133</v>
      </c>
      <c r="C8" t="str">
        <f>VLOOKUP(B8,Labels!$A$2:$B$161,2,FALSE)</f>
        <v>occipital</v>
      </c>
      <c r="D8">
        <v>9.6799999999999997E-2</v>
      </c>
    </row>
    <row r="9" spans="1:4" x14ac:dyDescent="0.3">
      <c r="A9" t="s">
        <v>30</v>
      </c>
      <c r="B9">
        <v>141</v>
      </c>
      <c r="C9" t="str">
        <f>VLOOKUP(B9,Labels!$A$2:$B$161,2,FALSE)</f>
        <v>occipital</v>
      </c>
      <c r="D9">
        <v>6.9900000000000004E-2</v>
      </c>
    </row>
    <row r="10" spans="1:4" x14ac:dyDescent="0.3">
      <c r="A10" t="s">
        <v>30</v>
      </c>
      <c r="B10">
        <v>143</v>
      </c>
      <c r="C10" t="str">
        <f>VLOOKUP(B10,Labels!$A$2:$B$161,2,FALSE)</f>
        <v>med cerebellum</v>
      </c>
      <c r="D10">
        <v>5.91E-2</v>
      </c>
    </row>
    <row r="11" spans="1:4" x14ac:dyDescent="0.3">
      <c r="A11" t="s">
        <v>30</v>
      </c>
      <c r="B11">
        <v>106</v>
      </c>
      <c r="C11" t="str">
        <f>VLOOKUP(B11,Labels!$A$2:$B$161,2,FALSE)</f>
        <v>occipital</v>
      </c>
      <c r="D11">
        <v>4.8399999999999999E-2</v>
      </c>
    </row>
    <row r="12" spans="1:4" x14ac:dyDescent="0.3">
      <c r="A12" t="s">
        <v>30</v>
      </c>
      <c r="B12">
        <v>138</v>
      </c>
      <c r="C12" t="str">
        <f>VLOOKUP(B12,Labels!$A$2:$B$161,2,FALSE)</f>
        <v>med cerebellum</v>
      </c>
      <c r="D12">
        <v>4.8399999999999999E-2</v>
      </c>
    </row>
    <row r="13" spans="1:4" x14ac:dyDescent="0.3">
      <c r="A13" t="s">
        <v>30</v>
      </c>
      <c r="B13">
        <v>145</v>
      </c>
      <c r="C13" t="str">
        <f>VLOOKUP(B13,Labels!$A$2:$B$161,2,FALSE)</f>
        <v>occipital</v>
      </c>
      <c r="D13">
        <v>3.7600000000000001E-2</v>
      </c>
    </row>
    <row r="14" spans="1:4" x14ac:dyDescent="0.3">
      <c r="A14" t="s">
        <v>30</v>
      </c>
      <c r="B14">
        <v>149</v>
      </c>
      <c r="C14" t="str">
        <f>VLOOKUP(B14,Labels!$A$2:$B$161,2,FALSE)</f>
        <v>occipital</v>
      </c>
      <c r="D14">
        <v>2.69E-2</v>
      </c>
    </row>
    <row r="15" spans="1:4" x14ac:dyDescent="0.3">
      <c r="A15" t="s">
        <v>31</v>
      </c>
      <c r="B15">
        <v>159</v>
      </c>
      <c r="C15" t="str">
        <f>VLOOKUP(B15,Labels!$A$2:$B$161,2,FALSE)</f>
        <v>post occipital</v>
      </c>
      <c r="D15">
        <v>0.26029999999999998</v>
      </c>
    </row>
    <row r="16" spans="1:4" x14ac:dyDescent="0.3">
      <c r="A16" t="s">
        <v>31</v>
      </c>
      <c r="B16">
        <v>156</v>
      </c>
      <c r="C16" t="str">
        <f>VLOOKUP(B16,Labels!$A$2:$B$161,2,FALSE)</f>
        <v>post occipital</v>
      </c>
      <c r="D16">
        <v>0.24660000000000001</v>
      </c>
    </row>
    <row r="17" spans="1:4" x14ac:dyDescent="0.3">
      <c r="A17" t="s">
        <v>31</v>
      </c>
      <c r="B17">
        <v>154</v>
      </c>
      <c r="C17" t="str">
        <f>VLOOKUP(B17,Labels!$A$2:$B$161,2,FALSE)</f>
        <v>post occipital</v>
      </c>
      <c r="D17">
        <v>0.20549999999999999</v>
      </c>
    </row>
    <row r="18" spans="1:4" x14ac:dyDescent="0.3">
      <c r="A18" t="s">
        <v>31</v>
      </c>
      <c r="B18">
        <v>157</v>
      </c>
      <c r="C18" t="str">
        <f>VLOOKUP(B18,Labels!$A$2:$B$161,2,FALSE)</f>
        <v>post occipital</v>
      </c>
      <c r="D18">
        <v>0.16439999999999999</v>
      </c>
    </row>
    <row r="19" spans="1:4" x14ac:dyDescent="0.3">
      <c r="A19" t="s">
        <v>31</v>
      </c>
      <c r="B19">
        <v>158</v>
      </c>
      <c r="C19" t="str">
        <f>VLOOKUP(B19,Labels!$A$2:$B$161,2,FALSE)</f>
        <v>post occipital</v>
      </c>
      <c r="D19">
        <v>0.1096</v>
      </c>
    </row>
    <row r="20" spans="1:4" x14ac:dyDescent="0.3">
      <c r="A20" t="s">
        <v>31</v>
      </c>
      <c r="B20">
        <v>153</v>
      </c>
      <c r="C20" t="str">
        <f>VLOOKUP(B20,Labels!$A$2:$B$161,2,FALSE)</f>
        <v>post occipital</v>
      </c>
      <c r="D20">
        <v>1.37E-2</v>
      </c>
    </row>
    <row r="21" spans="1:4" x14ac:dyDescent="0.3">
      <c r="A21" t="s">
        <v>27</v>
      </c>
      <c r="B21">
        <v>126</v>
      </c>
      <c r="C21" t="str">
        <f>VLOOKUP(B21,Labels!$A$2:$B$161,2,FALSE)</f>
        <v>occipital</v>
      </c>
      <c r="D21">
        <v>0.2727</v>
      </c>
    </row>
    <row r="22" spans="1:4" x14ac:dyDescent="0.3">
      <c r="A22" t="s">
        <v>27</v>
      </c>
      <c r="B22">
        <v>157</v>
      </c>
      <c r="C22" t="str">
        <f>VLOOKUP(B22,Labels!$A$2:$B$161,2,FALSE)</f>
        <v>post occipital</v>
      </c>
      <c r="D22">
        <v>0.2727</v>
      </c>
    </row>
    <row r="23" spans="1:4" x14ac:dyDescent="0.3">
      <c r="A23" t="s">
        <v>27</v>
      </c>
      <c r="B23">
        <v>142</v>
      </c>
      <c r="C23" t="str">
        <f>VLOOKUP(B23,Labels!$A$2:$B$161,2,FALSE)</f>
        <v>occipital</v>
      </c>
      <c r="D23">
        <v>0.2273</v>
      </c>
    </row>
    <row r="24" spans="1:4" x14ac:dyDescent="0.3">
      <c r="A24" t="s">
        <v>27</v>
      </c>
      <c r="B24">
        <v>156</v>
      </c>
      <c r="C24" t="str">
        <f>VLOOKUP(B24,Labels!$A$2:$B$161,2,FALSE)</f>
        <v>post occipital</v>
      </c>
      <c r="D24">
        <v>0.2273</v>
      </c>
    </row>
    <row r="25" spans="1:4" x14ac:dyDescent="0.3">
      <c r="A25" t="s">
        <v>28</v>
      </c>
      <c r="B25">
        <v>123</v>
      </c>
      <c r="C25" t="str">
        <f>VLOOKUP(B25,Labels!$A$2:$B$161,2,FALSE)</f>
        <v>temporal</v>
      </c>
      <c r="D25">
        <v>0.20880000000000001</v>
      </c>
    </row>
    <row r="26" spans="1:4" x14ac:dyDescent="0.3">
      <c r="A26" t="s">
        <v>28</v>
      </c>
      <c r="B26">
        <v>135</v>
      </c>
      <c r="C26" t="str">
        <f>VLOOKUP(B26,Labels!$A$2:$B$161,2,FALSE)</f>
        <v>occipital</v>
      </c>
      <c r="D26">
        <v>0.1978</v>
      </c>
    </row>
    <row r="27" spans="1:4" x14ac:dyDescent="0.3">
      <c r="A27" t="s">
        <v>28</v>
      </c>
      <c r="B27">
        <v>153</v>
      </c>
      <c r="C27" t="str">
        <f>VLOOKUP(B27,Labels!$A$2:$B$161,2,FALSE)</f>
        <v>post occipital</v>
      </c>
      <c r="D27">
        <v>0.1978</v>
      </c>
    </row>
    <row r="28" spans="1:4" x14ac:dyDescent="0.3">
      <c r="A28" t="s">
        <v>28</v>
      </c>
      <c r="B28">
        <v>139</v>
      </c>
      <c r="C28" t="str">
        <f>VLOOKUP(B28,Labels!$A$2:$B$161,2,FALSE)</f>
        <v>occipital</v>
      </c>
      <c r="D28">
        <v>0.18679999999999999</v>
      </c>
    </row>
    <row r="29" spans="1:4" x14ac:dyDescent="0.3">
      <c r="A29" t="s">
        <v>28</v>
      </c>
      <c r="B29">
        <v>119</v>
      </c>
      <c r="C29" t="str">
        <f>VLOOKUP(B29,Labels!$A$2:$B$161,2,FALSE)</f>
        <v>occipital</v>
      </c>
      <c r="D29">
        <v>0.13189999999999999</v>
      </c>
    </row>
    <row r="30" spans="1:4" x14ac:dyDescent="0.3">
      <c r="A30" t="s">
        <v>28</v>
      </c>
      <c r="B30">
        <v>154</v>
      </c>
      <c r="C30" t="str">
        <f>VLOOKUP(B30,Labels!$A$2:$B$161,2,FALSE)</f>
        <v>post occipital</v>
      </c>
      <c r="D30">
        <v>7.6899999999999996E-2</v>
      </c>
    </row>
  </sheetData>
  <autoFilter ref="A1:A30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7E0D-1D1A-46BA-B356-9592FB326BBB}">
  <dimension ref="A1:B161"/>
  <sheetViews>
    <sheetView topLeftCell="A127" workbookViewId="0">
      <selection sqref="A1:B1048576"/>
    </sheetView>
  </sheetViews>
  <sheetFormatPr defaultRowHeight="14.4" x14ac:dyDescent="0.3"/>
  <sheetData>
    <row r="1" spans="1:2" x14ac:dyDescent="0.3">
      <c r="A1" t="s">
        <v>32</v>
      </c>
      <c r="B1" t="s">
        <v>33</v>
      </c>
    </row>
    <row r="2" spans="1:2" x14ac:dyDescent="0.3">
      <c r="A2">
        <v>1</v>
      </c>
      <c r="B2" t="s">
        <v>34</v>
      </c>
    </row>
    <row r="3" spans="1:2" x14ac:dyDescent="0.3">
      <c r="A3">
        <v>2</v>
      </c>
      <c r="B3" t="s">
        <v>35</v>
      </c>
    </row>
    <row r="4" spans="1:2" x14ac:dyDescent="0.3">
      <c r="A4">
        <v>3</v>
      </c>
      <c r="B4" t="s">
        <v>35</v>
      </c>
    </row>
    <row r="5" spans="1:2" x14ac:dyDescent="0.3">
      <c r="A5">
        <v>4</v>
      </c>
      <c r="B5" t="s">
        <v>36</v>
      </c>
    </row>
    <row r="6" spans="1:2" x14ac:dyDescent="0.3">
      <c r="A6">
        <v>5</v>
      </c>
      <c r="B6" t="s">
        <v>35</v>
      </c>
    </row>
    <row r="7" spans="1:2" x14ac:dyDescent="0.3">
      <c r="A7">
        <v>6</v>
      </c>
      <c r="B7" t="s">
        <v>34</v>
      </c>
    </row>
    <row r="8" spans="1:2" x14ac:dyDescent="0.3">
      <c r="A8">
        <v>7</v>
      </c>
      <c r="B8" t="s">
        <v>34</v>
      </c>
    </row>
    <row r="9" spans="1:2" x14ac:dyDescent="0.3">
      <c r="A9">
        <v>8</v>
      </c>
      <c r="B9" t="s">
        <v>35</v>
      </c>
    </row>
    <row r="10" spans="1:2" x14ac:dyDescent="0.3">
      <c r="A10">
        <v>9</v>
      </c>
      <c r="B10" t="s">
        <v>37</v>
      </c>
    </row>
    <row r="11" spans="1:2" x14ac:dyDescent="0.3">
      <c r="A11">
        <v>10</v>
      </c>
      <c r="B11" t="s">
        <v>37</v>
      </c>
    </row>
    <row r="12" spans="1:2" x14ac:dyDescent="0.3">
      <c r="A12">
        <v>11</v>
      </c>
      <c r="B12" t="s">
        <v>34</v>
      </c>
    </row>
    <row r="13" spans="1:2" x14ac:dyDescent="0.3">
      <c r="A13">
        <v>12</v>
      </c>
      <c r="B13" t="s">
        <v>38</v>
      </c>
    </row>
    <row r="14" spans="1:2" x14ac:dyDescent="0.3">
      <c r="A14">
        <v>13</v>
      </c>
      <c r="B14" t="s">
        <v>34</v>
      </c>
    </row>
    <row r="15" spans="1:2" x14ac:dyDescent="0.3">
      <c r="A15">
        <v>14</v>
      </c>
      <c r="B15" t="s">
        <v>20</v>
      </c>
    </row>
    <row r="16" spans="1:2" x14ac:dyDescent="0.3">
      <c r="A16">
        <v>15</v>
      </c>
      <c r="B16" t="s">
        <v>38</v>
      </c>
    </row>
    <row r="17" spans="1:2" x14ac:dyDescent="0.3">
      <c r="A17">
        <v>16</v>
      </c>
      <c r="B17" t="s">
        <v>39</v>
      </c>
    </row>
    <row r="18" spans="1:2" x14ac:dyDescent="0.3">
      <c r="A18">
        <v>17</v>
      </c>
      <c r="B18" t="s">
        <v>40</v>
      </c>
    </row>
    <row r="19" spans="1:2" x14ac:dyDescent="0.3">
      <c r="A19">
        <v>18</v>
      </c>
      <c r="B19" t="s">
        <v>41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40</v>
      </c>
    </row>
    <row r="22" spans="1:2" x14ac:dyDescent="0.3">
      <c r="A22">
        <v>21</v>
      </c>
      <c r="B22" t="s">
        <v>20</v>
      </c>
    </row>
    <row r="23" spans="1:2" x14ac:dyDescent="0.3">
      <c r="A23">
        <v>22</v>
      </c>
      <c r="B23" t="s">
        <v>39</v>
      </c>
    </row>
    <row r="24" spans="1:2" x14ac:dyDescent="0.3">
      <c r="A24">
        <v>23</v>
      </c>
      <c r="B24" t="s">
        <v>41</v>
      </c>
    </row>
    <row r="25" spans="1:2" x14ac:dyDescent="0.3">
      <c r="A25">
        <v>24</v>
      </c>
      <c r="B25" t="s">
        <v>39</v>
      </c>
    </row>
    <row r="26" spans="1:2" x14ac:dyDescent="0.3">
      <c r="A26">
        <v>25</v>
      </c>
      <c r="B26" t="s">
        <v>42</v>
      </c>
    </row>
    <row r="27" spans="1:2" x14ac:dyDescent="0.3">
      <c r="A27">
        <v>26</v>
      </c>
      <c r="B27" t="s">
        <v>43</v>
      </c>
    </row>
    <row r="28" spans="1:2" x14ac:dyDescent="0.3">
      <c r="A28">
        <v>27</v>
      </c>
      <c r="B28" t="s">
        <v>44</v>
      </c>
    </row>
    <row r="29" spans="1:2" x14ac:dyDescent="0.3">
      <c r="A29">
        <v>28</v>
      </c>
      <c r="B29" t="s">
        <v>43</v>
      </c>
    </row>
    <row r="30" spans="1:2" x14ac:dyDescent="0.3">
      <c r="A30">
        <v>29</v>
      </c>
      <c r="B30" t="s">
        <v>45</v>
      </c>
    </row>
    <row r="31" spans="1:2" x14ac:dyDescent="0.3">
      <c r="A31">
        <v>30</v>
      </c>
      <c r="B31" t="s">
        <v>46</v>
      </c>
    </row>
    <row r="32" spans="1:2" x14ac:dyDescent="0.3">
      <c r="A32">
        <v>31</v>
      </c>
      <c r="B32" t="s">
        <v>47</v>
      </c>
    </row>
    <row r="33" spans="1:2" x14ac:dyDescent="0.3">
      <c r="A33">
        <v>32</v>
      </c>
      <c r="B33" t="s">
        <v>48</v>
      </c>
    </row>
    <row r="34" spans="1:2" x14ac:dyDescent="0.3">
      <c r="A34">
        <v>33</v>
      </c>
      <c r="B34" t="s">
        <v>42</v>
      </c>
    </row>
    <row r="35" spans="1:2" x14ac:dyDescent="0.3">
      <c r="A35">
        <v>34</v>
      </c>
      <c r="B35" t="s">
        <v>45</v>
      </c>
    </row>
    <row r="36" spans="1:2" x14ac:dyDescent="0.3">
      <c r="A36">
        <v>35</v>
      </c>
      <c r="B36" t="s">
        <v>45</v>
      </c>
    </row>
    <row r="37" spans="1:2" x14ac:dyDescent="0.3">
      <c r="A37">
        <v>36</v>
      </c>
      <c r="B37" t="s">
        <v>45</v>
      </c>
    </row>
    <row r="38" spans="1:2" x14ac:dyDescent="0.3">
      <c r="A38">
        <v>37</v>
      </c>
      <c r="B38" t="s">
        <v>42</v>
      </c>
    </row>
    <row r="39" spans="1:2" x14ac:dyDescent="0.3">
      <c r="A39">
        <v>38</v>
      </c>
      <c r="B39" t="s">
        <v>46</v>
      </c>
    </row>
    <row r="40" spans="1:2" x14ac:dyDescent="0.3">
      <c r="A40">
        <v>39</v>
      </c>
      <c r="B40" t="s">
        <v>46</v>
      </c>
    </row>
    <row r="41" spans="1:2" x14ac:dyDescent="0.3">
      <c r="A41">
        <v>40</v>
      </c>
      <c r="B41" t="s">
        <v>42</v>
      </c>
    </row>
    <row r="42" spans="1:2" x14ac:dyDescent="0.3">
      <c r="A42">
        <v>41</v>
      </c>
      <c r="B42" t="s">
        <v>49</v>
      </c>
    </row>
    <row r="43" spans="1:2" x14ac:dyDescent="0.3">
      <c r="A43">
        <v>42</v>
      </c>
      <c r="B43" t="s">
        <v>42</v>
      </c>
    </row>
    <row r="44" spans="1:2" x14ac:dyDescent="0.3">
      <c r="A44">
        <v>43</v>
      </c>
      <c r="B44" t="s">
        <v>50</v>
      </c>
    </row>
    <row r="45" spans="1:2" x14ac:dyDescent="0.3">
      <c r="A45">
        <v>44</v>
      </c>
      <c r="B45" t="s">
        <v>51</v>
      </c>
    </row>
    <row r="46" spans="1:2" x14ac:dyDescent="0.3">
      <c r="A46">
        <v>45</v>
      </c>
      <c r="B46" t="s">
        <v>48</v>
      </c>
    </row>
    <row r="47" spans="1:2" x14ac:dyDescent="0.3">
      <c r="A47">
        <v>46</v>
      </c>
      <c r="B47" t="s">
        <v>52</v>
      </c>
    </row>
    <row r="48" spans="1:2" x14ac:dyDescent="0.3">
      <c r="A48">
        <v>47</v>
      </c>
      <c r="B48" t="s">
        <v>53</v>
      </c>
    </row>
    <row r="49" spans="1:2" x14ac:dyDescent="0.3">
      <c r="A49">
        <v>48</v>
      </c>
      <c r="B49" t="s">
        <v>51</v>
      </c>
    </row>
    <row r="50" spans="1:2" x14ac:dyDescent="0.3">
      <c r="A50">
        <v>49</v>
      </c>
      <c r="B50" t="s">
        <v>52</v>
      </c>
    </row>
    <row r="51" spans="1:2" x14ac:dyDescent="0.3">
      <c r="A51">
        <v>50</v>
      </c>
      <c r="B51" t="s">
        <v>54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52</v>
      </c>
    </row>
    <row r="54" spans="1:2" x14ac:dyDescent="0.3">
      <c r="A54">
        <v>53</v>
      </c>
      <c r="B54" t="s">
        <v>52</v>
      </c>
    </row>
    <row r="55" spans="1:2" x14ac:dyDescent="0.3">
      <c r="A55">
        <v>54</v>
      </c>
      <c r="B55" t="s">
        <v>54</v>
      </c>
    </row>
    <row r="56" spans="1:2" x14ac:dyDescent="0.3">
      <c r="A56">
        <v>55</v>
      </c>
      <c r="B56" t="s">
        <v>51</v>
      </c>
    </row>
    <row r="57" spans="1:2" x14ac:dyDescent="0.3">
      <c r="A57">
        <v>56</v>
      </c>
      <c r="B57" t="s">
        <v>51</v>
      </c>
    </row>
    <row r="58" spans="1:2" x14ac:dyDescent="0.3">
      <c r="A58">
        <v>57</v>
      </c>
      <c r="B58" t="s">
        <v>53</v>
      </c>
    </row>
    <row r="59" spans="1:2" x14ac:dyDescent="0.3">
      <c r="A59">
        <v>58</v>
      </c>
      <c r="B59" t="s">
        <v>53</v>
      </c>
    </row>
    <row r="60" spans="1:2" x14ac:dyDescent="0.3">
      <c r="A60">
        <v>59</v>
      </c>
      <c r="B60" t="s">
        <v>51</v>
      </c>
    </row>
    <row r="61" spans="1:2" x14ac:dyDescent="0.3">
      <c r="A61">
        <v>60</v>
      </c>
      <c r="B61" t="s">
        <v>55</v>
      </c>
    </row>
    <row r="62" spans="1:2" x14ac:dyDescent="0.3">
      <c r="A62">
        <v>61</v>
      </c>
      <c r="B62" t="s">
        <v>51</v>
      </c>
    </row>
    <row r="63" spans="1:2" x14ac:dyDescent="0.3">
      <c r="A63">
        <v>62</v>
      </c>
      <c r="B63" t="s">
        <v>54</v>
      </c>
    </row>
    <row r="64" spans="1:2" x14ac:dyDescent="0.3">
      <c r="A64">
        <v>63</v>
      </c>
      <c r="B64" t="s">
        <v>56</v>
      </c>
    </row>
    <row r="65" spans="1:2" x14ac:dyDescent="0.3">
      <c r="A65">
        <v>64</v>
      </c>
      <c r="B65" t="s">
        <v>54</v>
      </c>
    </row>
    <row r="66" spans="1:2" x14ac:dyDescent="0.3">
      <c r="A66">
        <v>65</v>
      </c>
      <c r="B66" t="s">
        <v>54</v>
      </c>
    </row>
    <row r="67" spans="1:2" x14ac:dyDescent="0.3">
      <c r="A67">
        <v>66</v>
      </c>
      <c r="B67" t="s">
        <v>54</v>
      </c>
    </row>
    <row r="68" spans="1:2" x14ac:dyDescent="0.3">
      <c r="A68">
        <v>67</v>
      </c>
      <c r="B68" t="s">
        <v>52</v>
      </c>
    </row>
    <row r="69" spans="1:2" x14ac:dyDescent="0.3">
      <c r="A69">
        <v>68</v>
      </c>
      <c r="B69" t="s">
        <v>55</v>
      </c>
    </row>
    <row r="70" spans="1:2" x14ac:dyDescent="0.3">
      <c r="A70">
        <v>69</v>
      </c>
      <c r="B70" t="s">
        <v>54</v>
      </c>
    </row>
    <row r="71" spans="1:2" x14ac:dyDescent="0.3">
      <c r="A71">
        <v>70</v>
      </c>
      <c r="B71" t="s">
        <v>57</v>
      </c>
    </row>
    <row r="72" spans="1:2" x14ac:dyDescent="0.3">
      <c r="A72">
        <v>71</v>
      </c>
      <c r="B72" t="s">
        <v>46</v>
      </c>
    </row>
    <row r="73" spans="1:2" x14ac:dyDescent="0.3">
      <c r="A73">
        <v>72</v>
      </c>
      <c r="B73" t="s">
        <v>56</v>
      </c>
    </row>
    <row r="74" spans="1:2" x14ac:dyDescent="0.3">
      <c r="A74">
        <v>73</v>
      </c>
      <c r="B74" t="s">
        <v>58</v>
      </c>
    </row>
    <row r="75" spans="1:2" x14ac:dyDescent="0.3">
      <c r="A75">
        <v>74</v>
      </c>
      <c r="B75" t="s">
        <v>54</v>
      </c>
    </row>
    <row r="76" spans="1:2" x14ac:dyDescent="0.3">
      <c r="A76">
        <v>75</v>
      </c>
      <c r="B76" t="s">
        <v>54</v>
      </c>
    </row>
    <row r="77" spans="1:2" x14ac:dyDescent="0.3">
      <c r="A77">
        <v>76</v>
      </c>
      <c r="B77" t="s">
        <v>57</v>
      </c>
    </row>
    <row r="78" spans="1:2" x14ac:dyDescent="0.3">
      <c r="A78">
        <v>77</v>
      </c>
      <c r="B78" t="s">
        <v>54</v>
      </c>
    </row>
    <row r="79" spans="1:2" x14ac:dyDescent="0.3">
      <c r="A79">
        <v>78</v>
      </c>
      <c r="B79" t="s">
        <v>55</v>
      </c>
    </row>
    <row r="80" spans="1:2" x14ac:dyDescent="0.3">
      <c r="A80">
        <v>79</v>
      </c>
      <c r="B80" t="s">
        <v>59</v>
      </c>
    </row>
    <row r="81" spans="1:2" x14ac:dyDescent="0.3">
      <c r="A81">
        <v>80</v>
      </c>
      <c r="B81" t="s">
        <v>58</v>
      </c>
    </row>
    <row r="82" spans="1:2" x14ac:dyDescent="0.3">
      <c r="A82">
        <v>81</v>
      </c>
      <c r="B82" t="s">
        <v>60</v>
      </c>
    </row>
    <row r="83" spans="1:2" x14ac:dyDescent="0.3">
      <c r="A83">
        <v>82</v>
      </c>
      <c r="B83" t="s">
        <v>55</v>
      </c>
    </row>
    <row r="84" spans="1:2" x14ac:dyDescent="0.3">
      <c r="A84">
        <v>83</v>
      </c>
      <c r="B84" t="s">
        <v>55</v>
      </c>
    </row>
    <row r="85" spans="1:2" x14ac:dyDescent="0.3">
      <c r="A85">
        <v>84</v>
      </c>
      <c r="B85" t="s">
        <v>60</v>
      </c>
    </row>
    <row r="86" spans="1:2" x14ac:dyDescent="0.3">
      <c r="A86">
        <v>85</v>
      </c>
      <c r="B86" t="s">
        <v>61</v>
      </c>
    </row>
    <row r="87" spans="1:2" x14ac:dyDescent="0.3">
      <c r="A87">
        <v>86</v>
      </c>
      <c r="B87" t="s">
        <v>62</v>
      </c>
    </row>
    <row r="88" spans="1:2" x14ac:dyDescent="0.3">
      <c r="A88">
        <v>87</v>
      </c>
      <c r="B88" t="s">
        <v>61</v>
      </c>
    </row>
    <row r="89" spans="1:2" x14ac:dyDescent="0.3">
      <c r="A89">
        <v>88</v>
      </c>
      <c r="B89" t="s">
        <v>63</v>
      </c>
    </row>
    <row r="90" spans="1:2" x14ac:dyDescent="0.3">
      <c r="A90">
        <v>89</v>
      </c>
      <c r="B90" t="s">
        <v>54</v>
      </c>
    </row>
    <row r="91" spans="1:2" x14ac:dyDescent="0.3">
      <c r="A91">
        <v>90</v>
      </c>
      <c r="B91" t="s">
        <v>58</v>
      </c>
    </row>
    <row r="92" spans="1:2" x14ac:dyDescent="0.3">
      <c r="A92">
        <v>91</v>
      </c>
      <c r="B92" t="s">
        <v>56</v>
      </c>
    </row>
    <row r="93" spans="1:2" x14ac:dyDescent="0.3">
      <c r="A93">
        <v>92</v>
      </c>
      <c r="B93" t="s">
        <v>64</v>
      </c>
    </row>
    <row r="94" spans="1:2" x14ac:dyDescent="0.3">
      <c r="A94">
        <v>93</v>
      </c>
      <c r="B94" t="s">
        <v>58</v>
      </c>
    </row>
    <row r="95" spans="1:2" x14ac:dyDescent="0.3">
      <c r="A95">
        <v>94</v>
      </c>
      <c r="B95" t="s">
        <v>61</v>
      </c>
    </row>
    <row r="96" spans="1:2" x14ac:dyDescent="0.3">
      <c r="A96">
        <v>95</v>
      </c>
      <c r="B96" t="s">
        <v>55</v>
      </c>
    </row>
    <row r="97" spans="1:2" x14ac:dyDescent="0.3">
      <c r="A97">
        <v>96</v>
      </c>
      <c r="B97" t="s">
        <v>63</v>
      </c>
    </row>
    <row r="98" spans="1:2" x14ac:dyDescent="0.3">
      <c r="A98">
        <v>97</v>
      </c>
      <c r="B98" t="s">
        <v>54</v>
      </c>
    </row>
    <row r="99" spans="1:2" x14ac:dyDescent="0.3">
      <c r="A99">
        <v>98</v>
      </c>
      <c r="B99" t="s">
        <v>65</v>
      </c>
    </row>
    <row r="100" spans="1:2" x14ac:dyDescent="0.3">
      <c r="A100">
        <v>99</v>
      </c>
      <c r="B100" t="s">
        <v>59</v>
      </c>
    </row>
    <row r="101" spans="1:2" x14ac:dyDescent="0.3">
      <c r="A101">
        <v>100</v>
      </c>
      <c r="B101" t="s">
        <v>66</v>
      </c>
    </row>
    <row r="102" spans="1:2" x14ac:dyDescent="0.3">
      <c r="A102">
        <v>101</v>
      </c>
      <c r="B102" t="s">
        <v>63</v>
      </c>
    </row>
    <row r="103" spans="1:2" x14ac:dyDescent="0.3">
      <c r="A103">
        <v>102</v>
      </c>
      <c r="B103" t="s">
        <v>67</v>
      </c>
    </row>
    <row r="104" spans="1:2" x14ac:dyDescent="0.3">
      <c r="A104">
        <v>103</v>
      </c>
      <c r="B104" t="s">
        <v>55</v>
      </c>
    </row>
    <row r="105" spans="1:2" x14ac:dyDescent="0.3">
      <c r="A105">
        <v>104</v>
      </c>
      <c r="B105" t="s">
        <v>63</v>
      </c>
    </row>
    <row r="106" spans="1:2" x14ac:dyDescent="0.3">
      <c r="A106">
        <v>105</v>
      </c>
      <c r="B106" t="s">
        <v>61</v>
      </c>
    </row>
    <row r="107" spans="1:2" x14ac:dyDescent="0.3">
      <c r="A107">
        <v>106</v>
      </c>
      <c r="B107" t="s">
        <v>64</v>
      </c>
    </row>
    <row r="108" spans="1:2" x14ac:dyDescent="0.3">
      <c r="A108">
        <v>107</v>
      </c>
      <c r="B108" t="s">
        <v>63</v>
      </c>
    </row>
    <row r="109" spans="1:2" x14ac:dyDescent="0.3">
      <c r="A109">
        <v>108</v>
      </c>
      <c r="B109" t="s">
        <v>58</v>
      </c>
    </row>
    <row r="110" spans="1:2" x14ac:dyDescent="0.3">
      <c r="A110">
        <v>109</v>
      </c>
      <c r="B110" t="s">
        <v>65</v>
      </c>
    </row>
    <row r="111" spans="1:2" x14ac:dyDescent="0.3">
      <c r="A111">
        <v>110</v>
      </c>
      <c r="B111" t="s">
        <v>68</v>
      </c>
    </row>
    <row r="112" spans="1:2" x14ac:dyDescent="0.3">
      <c r="A112">
        <v>111</v>
      </c>
      <c r="B112" t="s">
        <v>58</v>
      </c>
    </row>
    <row r="113" spans="1:2" x14ac:dyDescent="0.3">
      <c r="A113">
        <v>112</v>
      </c>
      <c r="B113" t="s">
        <v>61</v>
      </c>
    </row>
    <row r="114" spans="1:2" x14ac:dyDescent="0.3">
      <c r="A114">
        <v>113</v>
      </c>
      <c r="B114" t="s">
        <v>65</v>
      </c>
    </row>
    <row r="115" spans="1:2" x14ac:dyDescent="0.3">
      <c r="A115">
        <v>114</v>
      </c>
      <c r="B115" t="s">
        <v>69</v>
      </c>
    </row>
    <row r="116" spans="1:2" x14ac:dyDescent="0.3">
      <c r="A116">
        <v>115</v>
      </c>
      <c r="B116" t="s">
        <v>58</v>
      </c>
    </row>
    <row r="117" spans="1:2" x14ac:dyDescent="0.3">
      <c r="A117">
        <v>116</v>
      </c>
      <c r="B117" t="s">
        <v>69</v>
      </c>
    </row>
    <row r="118" spans="1:2" x14ac:dyDescent="0.3">
      <c r="A118">
        <v>117</v>
      </c>
      <c r="B118" t="s">
        <v>67</v>
      </c>
    </row>
    <row r="119" spans="1:2" x14ac:dyDescent="0.3">
      <c r="A119">
        <v>118</v>
      </c>
      <c r="B119" t="s">
        <v>64</v>
      </c>
    </row>
    <row r="120" spans="1:2" x14ac:dyDescent="0.3">
      <c r="A120">
        <v>119</v>
      </c>
      <c r="B120" t="s">
        <v>64</v>
      </c>
    </row>
    <row r="121" spans="1:2" x14ac:dyDescent="0.3">
      <c r="A121">
        <v>120</v>
      </c>
      <c r="B121" t="s">
        <v>70</v>
      </c>
    </row>
    <row r="122" spans="1:2" x14ac:dyDescent="0.3">
      <c r="A122">
        <v>121</v>
      </c>
      <c r="B122" t="s">
        <v>68</v>
      </c>
    </row>
    <row r="123" spans="1:2" x14ac:dyDescent="0.3">
      <c r="A123">
        <v>122</v>
      </c>
      <c r="B123" t="s">
        <v>68</v>
      </c>
    </row>
    <row r="124" spans="1:2" x14ac:dyDescent="0.3">
      <c r="A124">
        <v>123</v>
      </c>
      <c r="B124" t="s">
        <v>55</v>
      </c>
    </row>
    <row r="125" spans="1:2" x14ac:dyDescent="0.3">
      <c r="A125">
        <v>124</v>
      </c>
      <c r="B125" t="s">
        <v>67</v>
      </c>
    </row>
    <row r="126" spans="1:2" x14ac:dyDescent="0.3">
      <c r="A126">
        <v>125</v>
      </c>
      <c r="B126" t="s">
        <v>71</v>
      </c>
    </row>
    <row r="127" spans="1:2" x14ac:dyDescent="0.3">
      <c r="A127">
        <v>126</v>
      </c>
      <c r="B127" t="s">
        <v>64</v>
      </c>
    </row>
    <row r="128" spans="1:2" x14ac:dyDescent="0.3">
      <c r="A128">
        <v>127</v>
      </c>
      <c r="B128" t="s">
        <v>70</v>
      </c>
    </row>
    <row r="129" spans="1:2" x14ac:dyDescent="0.3">
      <c r="A129">
        <v>128</v>
      </c>
      <c r="B129" t="s">
        <v>65</v>
      </c>
    </row>
    <row r="130" spans="1:2" x14ac:dyDescent="0.3">
      <c r="A130">
        <v>129</v>
      </c>
      <c r="B130" t="s">
        <v>64</v>
      </c>
    </row>
    <row r="131" spans="1:2" x14ac:dyDescent="0.3">
      <c r="A131">
        <v>130</v>
      </c>
      <c r="B131" t="s">
        <v>70</v>
      </c>
    </row>
    <row r="132" spans="1:2" x14ac:dyDescent="0.3">
      <c r="A132">
        <v>131</v>
      </c>
      <c r="B132" t="s">
        <v>68</v>
      </c>
    </row>
    <row r="133" spans="1:2" x14ac:dyDescent="0.3">
      <c r="A133">
        <v>132</v>
      </c>
      <c r="B133" t="s">
        <v>61</v>
      </c>
    </row>
    <row r="134" spans="1:2" x14ac:dyDescent="0.3">
      <c r="A134">
        <v>133</v>
      </c>
      <c r="B134" t="s">
        <v>64</v>
      </c>
    </row>
    <row r="135" spans="1:2" x14ac:dyDescent="0.3">
      <c r="A135">
        <v>134</v>
      </c>
      <c r="B135" t="s">
        <v>69</v>
      </c>
    </row>
    <row r="136" spans="1:2" x14ac:dyDescent="0.3">
      <c r="A136">
        <v>135</v>
      </c>
      <c r="B136" t="s">
        <v>64</v>
      </c>
    </row>
    <row r="137" spans="1:2" x14ac:dyDescent="0.3">
      <c r="A137">
        <v>136</v>
      </c>
      <c r="B137" t="s">
        <v>64</v>
      </c>
    </row>
    <row r="138" spans="1:2" x14ac:dyDescent="0.3">
      <c r="A138">
        <v>137</v>
      </c>
      <c r="B138" t="s">
        <v>64</v>
      </c>
    </row>
    <row r="139" spans="1:2" x14ac:dyDescent="0.3">
      <c r="A139">
        <v>138</v>
      </c>
      <c r="B139" t="s">
        <v>70</v>
      </c>
    </row>
    <row r="140" spans="1:2" x14ac:dyDescent="0.3">
      <c r="A140">
        <v>139</v>
      </c>
      <c r="B140" t="s">
        <v>64</v>
      </c>
    </row>
    <row r="141" spans="1:2" x14ac:dyDescent="0.3">
      <c r="A141">
        <v>140</v>
      </c>
      <c r="B141" t="s">
        <v>68</v>
      </c>
    </row>
    <row r="142" spans="1:2" x14ac:dyDescent="0.3">
      <c r="A142">
        <v>141</v>
      </c>
      <c r="B142" t="s">
        <v>64</v>
      </c>
    </row>
    <row r="143" spans="1:2" x14ac:dyDescent="0.3">
      <c r="A143">
        <v>142</v>
      </c>
      <c r="B143" t="s">
        <v>64</v>
      </c>
    </row>
    <row r="144" spans="1:2" x14ac:dyDescent="0.3">
      <c r="A144">
        <v>143</v>
      </c>
      <c r="B144" t="s">
        <v>70</v>
      </c>
    </row>
    <row r="145" spans="1:2" x14ac:dyDescent="0.3">
      <c r="A145">
        <v>144</v>
      </c>
      <c r="B145" t="s">
        <v>70</v>
      </c>
    </row>
    <row r="146" spans="1:2" x14ac:dyDescent="0.3">
      <c r="A146">
        <v>145</v>
      </c>
      <c r="B146" t="s">
        <v>64</v>
      </c>
    </row>
    <row r="147" spans="1:2" x14ac:dyDescent="0.3">
      <c r="A147">
        <v>146</v>
      </c>
      <c r="B147" t="s">
        <v>64</v>
      </c>
    </row>
    <row r="148" spans="1:2" x14ac:dyDescent="0.3">
      <c r="A148">
        <v>147</v>
      </c>
      <c r="B148" t="s">
        <v>64</v>
      </c>
    </row>
    <row r="149" spans="1:2" x14ac:dyDescent="0.3">
      <c r="A149">
        <v>148</v>
      </c>
      <c r="B149" t="s">
        <v>64</v>
      </c>
    </row>
    <row r="150" spans="1:2" x14ac:dyDescent="0.3">
      <c r="A150">
        <v>149</v>
      </c>
      <c r="B150" t="s">
        <v>64</v>
      </c>
    </row>
    <row r="151" spans="1:2" x14ac:dyDescent="0.3">
      <c r="A151">
        <v>150</v>
      </c>
      <c r="B151" t="s">
        <v>68</v>
      </c>
    </row>
    <row r="152" spans="1:2" x14ac:dyDescent="0.3">
      <c r="A152">
        <v>151</v>
      </c>
      <c r="B152" t="s">
        <v>68</v>
      </c>
    </row>
    <row r="153" spans="1:2" x14ac:dyDescent="0.3">
      <c r="A153">
        <v>152</v>
      </c>
      <c r="B153" t="s">
        <v>72</v>
      </c>
    </row>
    <row r="154" spans="1:2" x14ac:dyDescent="0.3">
      <c r="A154">
        <v>153</v>
      </c>
      <c r="B154" t="s">
        <v>72</v>
      </c>
    </row>
    <row r="155" spans="1:2" x14ac:dyDescent="0.3">
      <c r="A155">
        <v>154</v>
      </c>
      <c r="B155" t="s">
        <v>72</v>
      </c>
    </row>
    <row r="156" spans="1:2" x14ac:dyDescent="0.3">
      <c r="A156">
        <v>155</v>
      </c>
      <c r="B156" t="s">
        <v>68</v>
      </c>
    </row>
    <row r="157" spans="1:2" x14ac:dyDescent="0.3">
      <c r="A157">
        <v>156</v>
      </c>
      <c r="B157" t="s">
        <v>72</v>
      </c>
    </row>
    <row r="158" spans="1:2" x14ac:dyDescent="0.3">
      <c r="A158">
        <v>157</v>
      </c>
      <c r="B158" t="s">
        <v>72</v>
      </c>
    </row>
    <row r="159" spans="1:2" x14ac:dyDescent="0.3">
      <c r="A159">
        <v>158</v>
      </c>
      <c r="B159" t="s">
        <v>72</v>
      </c>
    </row>
    <row r="160" spans="1:2" x14ac:dyDescent="0.3">
      <c r="A160">
        <v>159</v>
      </c>
      <c r="B160" t="s">
        <v>72</v>
      </c>
    </row>
    <row r="161" spans="1:2" x14ac:dyDescent="0.3">
      <c r="A161">
        <v>160</v>
      </c>
      <c r="B16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DefaultMode</vt:lpstr>
      <vt:lpstr>DorsalAttention</vt:lpstr>
      <vt:lpstr>FrontoParietal</vt:lpstr>
      <vt:lpstr>Language</vt:lpstr>
      <vt:lpstr>Salience</vt:lpstr>
      <vt:lpstr>SensoriMotor</vt:lpstr>
      <vt:lpstr>Visual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Fales, Kaitlyn Rose</cp:lastModifiedBy>
  <dcterms:created xsi:type="dcterms:W3CDTF">2025-10-26T20:51:42Z</dcterms:created>
  <dcterms:modified xsi:type="dcterms:W3CDTF">2025-10-26T20:55:12Z</dcterms:modified>
</cp:coreProperties>
</file>